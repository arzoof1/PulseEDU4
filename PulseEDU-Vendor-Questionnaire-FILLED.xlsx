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Questionnaire" sheetId="1" state="visible" r:id="rId1"/>
    <sheet xmlns:r="http://schemas.openxmlformats.org/officeDocument/2006/relationships" name="Summary"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color rgb="FFFFFFFF"/>
      <sz val="9"/>
    </font>
    <font>
      <name val="Arial"/>
      <charset val="1"/>
      <family val="0"/>
      <color rgb="FF404040"/>
      <sz val="9"/>
    </font>
    <font>
      <name val="Arial"/>
      <charset val="1"/>
      <family val="0"/>
      <b val="1"/>
      <color rgb="FFFFFFFF"/>
      <sz val="10"/>
    </font>
    <font>
      <name val="Arial"/>
      <charset val="1"/>
      <family val="0"/>
      <b val="1"/>
      <color rgb="FFFFFFFF"/>
      <sz val="11"/>
    </font>
    <font>
      <name val="Arial"/>
      <charset val="1"/>
      <family val="0"/>
      <b val="1"/>
      <color rgb="FF1F3864"/>
      <sz val="10"/>
    </font>
    <font>
      <name val="Arial"/>
      <charset val="1"/>
      <family val="0"/>
      <color rgb="FF000000"/>
      <sz val="10"/>
    </font>
    <font>
      <name val="Arial"/>
      <charset val="1"/>
      <family val="0"/>
      <b val="1"/>
      <color rgb="FFFFFFFF"/>
      <sz val="14"/>
    </font>
    <font>
      <name val="Arial"/>
      <charset val="1"/>
      <family val="0"/>
      <b val="1"/>
      <color rgb="FF000000"/>
      <sz val="10"/>
    </font>
    <font>
      <name val="Arial"/>
      <charset val="1"/>
      <family val="0"/>
      <color rgb="FFC00000"/>
      <sz val="9"/>
    </font>
  </fonts>
  <fills count="10">
    <fill>
      <patternFill/>
    </fill>
    <fill>
      <patternFill patternType="gray125"/>
    </fill>
    <fill>
      <patternFill patternType="solid">
        <fgColor rgb="FF1F3864"/>
        <bgColor rgb="FF404040"/>
      </patternFill>
    </fill>
    <fill>
      <patternFill patternType="solid">
        <fgColor rgb="FF2E5496"/>
        <bgColor rgb="FF44546A"/>
      </patternFill>
    </fill>
    <fill>
      <patternFill patternType="solid">
        <fgColor rgb="FFF2F2F2"/>
        <bgColor rgb="FFFFFFFF"/>
      </patternFill>
    </fill>
    <fill>
      <patternFill patternType="solid">
        <fgColor rgb="FF44546A"/>
        <bgColor rgb="FF2E5496"/>
      </patternFill>
    </fill>
    <fill>
      <patternFill patternType="solid">
        <fgColor rgb="FFC00000"/>
        <bgColor rgb="FF800000"/>
      </patternFill>
    </fill>
    <fill>
      <patternFill patternType="solid">
        <fgColor rgb="FF548235"/>
        <bgColor rgb="FF339966"/>
      </patternFill>
    </fill>
    <fill>
      <patternFill patternType="solid">
        <fgColor rgb="FF7030A0"/>
        <bgColor rgb="FF993366"/>
      </patternFill>
    </fill>
    <fill>
      <patternFill patternType="solid">
        <fgColor rgb="FFD9E1F2"/>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4" borderId="0" applyAlignment="1" pivotButton="0" quotePrefix="0" xfId="0">
      <alignment horizontal="left" vertical="center" wrapText="1" indent="1"/>
    </xf>
    <xf numFmtId="0" fontId="7" fillId="5" borderId="1" applyAlignment="1" pivotButton="0" quotePrefix="0" xfId="0">
      <alignment horizontal="center" vertical="center" wrapText="1"/>
    </xf>
    <xf numFmtId="0" fontId="8" fillId="6" borderId="0" applyAlignment="1" pivotButton="0" quotePrefix="0" xfId="0">
      <alignment horizontal="left" vertical="center" indent="1"/>
    </xf>
    <xf numFmtId="0" fontId="9" fillId="0" borderId="1" applyAlignment="1" pivotButton="0" quotePrefix="0" xfId="0">
      <alignment horizontal="center" vertical="top"/>
    </xf>
    <xf numFmtId="0" fontId="10" fillId="0" borderId="1" applyAlignment="1" pivotButton="0" quotePrefix="0" xfId="0">
      <alignment horizontal="left" vertical="top" wrapText="1"/>
    </xf>
    <xf numFmtId="0" fontId="8" fillId="3"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11" fillId="2" borderId="0" applyAlignment="1" pivotButton="0" quotePrefix="0" xfId="0">
      <alignment horizontal="left" vertical="center" indent="1"/>
    </xf>
    <xf numFmtId="0" fontId="12" fillId="9" borderId="1" applyAlignment="1" pivotButton="0" quotePrefix="0" xfId="0">
      <alignment horizontal="left" vertical="bottom" indent="1"/>
    </xf>
    <xf numFmtId="0" fontId="10" fillId="0" borderId="1" applyAlignment="1" pivotButton="0" quotePrefix="0" xfId="0">
      <alignment horizontal="center" vertical="bottom"/>
    </xf>
    <xf numFmtId="0" fontId="1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indent="1"/>
    </xf>
    <xf numFmtId="0" fontId="5" fillId="3" borderId="0" applyAlignment="1" pivotButton="0" quotePrefix="0" xfId="0">
      <alignment horizontal="left" vertical="center" indent="1"/>
    </xf>
    <xf numFmtId="0" fontId="6" fillId="4" borderId="0" applyAlignment="1" pivotButton="0" quotePrefix="0" xfId="0">
      <alignment horizontal="left" vertical="center" wrapText="1" indent="1"/>
    </xf>
    <xf numFmtId="0" fontId="7" fillId="5" borderId="1" applyAlignment="1" pivotButton="0" quotePrefix="0" xfId="0">
      <alignment horizontal="center" vertical="center" wrapText="1"/>
    </xf>
    <xf numFmtId="0" fontId="8" fillId="6" borderId="0" applyAlignment="1" pivotButton="0" quotePrefix="0" xfId="0">
      <alignment horizontal="left" vertical="center" indent="1"/>
    </xf>
    <xf numFmtId="0" fontId="9" fillId="0" borderId="1" applyAlignment="1" pivotButton="0" quotePrefix="0" xfId="0">
      <alignment horizontal="center" vertical="top"/>
    </xf>
    <xf numFmtId="0" fontId="10" fillId="0" borderId="1" applyAlignment="1" pivotButton="0" quotePrefix="0" xfId="0">
      <alignment horizontal="left" vertical="top" wrapText="1"/>
    </xf>
    <xf numFmtId="0" fontId="10" fillId="0" borderId="1" applyAlignment="1" pivotButton="0" quotePrefix="0" xfId="0">
      <alignment vertical="top" wrapText="1"/>
    </xf>
    <xf numFmtId="0" fontId="8" fillId="3" borderId="0" applyAlignment="1" pivotButton="0" quotePrefix="0" xfId="0">
      <alignment horizontal="left" vertical="center" indent="1"/>
    </xf>
    <xf numFmtId="0" fontId="8" fillId="7" borderId="0" applyAlignment="1" pivotButton="0" quotePrefix="0" xfId="0">
      <alignment horizontal="left" vertical="center" indent="1"/>
    </xf>
    <xf numFmtId="0" fontId="8" fillId="8" borderId="0" applyAlignment="1" pivotButton="0" quotePrefix="0" xfId="0">
      <alignment horizontal="left" vertical="center" indent="1"/>
    </xf>
    <xf numFmtId="0" fontId="11" fillId="2" borderId="0" applyAlignment="1" pivotButton="0" quotePrefix="0" xfId="0">
      <alignment horizontal="left" vertical="center" indent="1"/>
    </xf>
    <xf numFmtId="0" fontId="12" fillId="9" borderId="1" applyAlignment="1" pivotButton="0" quotePrefix="0" xfId="0">
      <alignment horizontal="left" vertical="bottom" indent="1"/>
    </xf>
    <xf numFmtId="0" fontId="10" fillId="0" borderId="1" applyAlignment="1" pivotButton="0" quotePrefix="0" xfId="0">
      <alignment horizontal="center" vertical="bottom"/>
    </xf>
    <xf numFmtId="0" fontId="1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7030A0"/>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2E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3"/>
  <sheetViews>
    <sheetView showFormulas="0" showGridLines="0"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outlineLevelCol="0"/>
  <cols>
    <col width="6" customWidth="1" style="16" min="1" max="1"/>
    <col width="52" customWidth="1" style="16" min="2" max="2"/>
    <col width="72" customWidth="1" style="16" min="3" max="3"/>
    <col width="50" customWidth="1" style="16" min="4" max="4"/>
    <col width="18" customWidth="1" style="16" min="5" max="5"/>
    <col width="22" customWidth="1" style="16" min="6" max="6"/>
    <col width="5" customWidth="1" style="16" min="7" max="7"/>
  </cols>
  <sheetData>
    <row r="1" ht="27.75" customHeight="1" s="17">
      <c r="A1" s="18" t="inlineStr">
        <is>
          <t>PulseEDU — Vendor Security Questionnaire</t>
        </is>
      </c>
    </row>
    <row r="2" ht="18" customHeight="1" s="17">
      <c r="A2" s="19" t="inlineStr">
        <is>
          <t>Production: https://pulseedu.pulsekinetics.us/    |    June 2026    |    CONFIDENTIAL — Internal Use</t>
        </is>
      </c>
    </row>
    <row r="3" ht="31.5" customHeight="1" s="17">
      <c r="A3" s="20" t="inlineStr">
        <is>
          <t>Instructions — Vendor: complete 'Vendor response' and 'Evidence provided?', and attach supporting documents. District: assign an Owner and maintain Status. Tier 1 items must be answered before any pilot with real student data.</t>
        </is>
      </c>
    </row>
    <row r="5" ht="25.5" customHeight="1" s="17">
      <c r="A5" s="21" t="inlineStr">
        <is>
          <t>#</t>
        </is>
      </c>
      <c r="B5" s="21" t="inlineStr">
        <is>
          <t>Question</t>
        </is>
      </c>
      <c r="C5" s="21" t="inlineStr">
        <is>
          <t>Vendor response</t>
        </is>
      </c>
      <c r="D5" s="21" t="inlineStr">
        <is>
          <t>Evidence provided?</t>
        </is>
      </c>
      <c r="E5" s="21" t="inlineStr">
        <is>
          <t>Owner (district)</t>
        </is>
      </c>
      <c r="F5" s="21" t="inlineStr">
        <is>
          <t>Status</t>
        </is>
      </c>
      <c r="G5" s="21" t="inlineStr">
        <is>
          <t>Notes</t>
        </is>
      </c>
    </row>
    <row r="6" ht="21.75" customHeight="1" s="17">
      <c r="A6" s="22" t="inlineStr">
        <is>
          <t>Section A — Tier 1 — Gating items (must be answered before any pilot with real student data)</t>
        </is>
      </c>
    </row>
    <row r="7" ht="45.75" customHeight="1" s="17">
      <c r="A7" s="23" t="inlineStr">
        <is>
          <t>Q1</t>
        </is>
      </c>
      <c r="B7" s="24" t="inlineStr">
        <is>
          <t>Is multi-factor authentication available, and can the district ENFORCE it for staff, District Admin / SuperUser, and your own support personnel? If not available, what is the timeline?</t>
        </is>
      </c>
      <c r="C7" s="25" t="inlineStr">
        <is>
          <t>Parent portal: optional TOTP (time-based one-time password via authenticator app) is available for parent accounts. Parents may enroll, verify, and disable 2FA in their Preferences.
Staff accounts (including District Admin and SuperUser): authentication is via password and session cookie; multi-factor authentication for staff is not currently implemented and cannot be district-enforced at this time.</t>
        </is>
      </c>
      <c r="D7" s="25" t="inlineStr">
        <is>
          <t>Code: artifacts/api-server/src/routes/parentAuth.ts (TOTP enroll/confirm/disable endpoints).</t>
        </is>
      </c>
      <c r="E7" s="24" t="n"/>
      <c r="F7" s="24" t="inlineStr">
        <is>
          <t>Not started</t>
        </is>
      </c>
      <c r="G7" s="24" t="n"/>
    </row>
    <row r="8" ht="45.75" customHeight="1" s="17">
      <c r="A8" s="23" t="inlineStr">
        <is>
          <t>Q2</t>
        </is>
      </c>
      <c r="B8" s="24" t="inlineStr">
        <is>
          <t>Will you provide an independent third-party penetration-test report from the last 12 months, with tracked remediation? If none exists, will you fund one before launch?</t>
        </is>
      </c>
      <c r="C8" s="24" t="n"/>
      <c r="D8" s="24" t="n"/>
      <c r="E8" s="24" t="n"/>
      <c r="F8" s="24" t="inlineStr">
        <is>
          <t>Not started</t>
        </is>
      </c>
      <c r="G8" s="24" t="n"/>
    </row>
    <row r="9" ht="45.75" customHeight="1" s="17">
      <c r="A9" s="23" t="inlineStr">
        <is>
          <t>Q3</t>
        </is>
      </c>
      <c r="B9" s="24" t="inlineStr">
        <is>
          <t>Why is database-level tenant isolation (PostgreSQL Row-Level Security) not used? What is your plan/timeline for a database-enforced guarantee, and how is cross-tenant access currently tested? (See also U3.)</t>
        </is>
      </c>
      <c r="C9" s="25" t="inlineStr">
        <is>
          <t>PulseEDU does not use PostgreSQL Row-Level Security. Tenant isolation is enforced in the application layer: every authenticated request resolves an active school_id from the staff session. API handlers scope all database queries using this school_id and enforce permission gates (requireSchool, canImportSchoolData, canActAsDistrict). Cross-tenant access is prevented by code review and route-level scoping discipline. There is no database-enforced isolation policy; all scoping relies on application code correctness. See also U3.</t>
        </is>
      </c>
      <c r="D9" s="25" t="inlineStr">
        <is>
          <t>Code: artifacts/api-server/src/lib/scope.ts, artifacts/api-server/src/app.ts (school_id session middleware).</t>
        </is>
      </c>
      <c r="E9" s="24" t="n"/>
      <c r="F9" s="24" t="inlineStr">
        <is>
          <t>Not started</t>
        </is>
      </c>
      <c r="G9" s="24" t="n"/>
    </row>
    <row r="10" ht="45.75" customHeight="1" s="17">
      <c r="A10" s="23" t="inlineStr">
        <is>
          <t>Q4</t>
        </is>
      </c>
      <c r="B10" s="24" t="inlineStr">
        <is>
          <t>Is Adminer (the web DB admin tool) running in production? Show exactly how it is network-restricted (the security-group rule), and confirm whether its access is logged.</t>
        </is>
      </c>
      <c r="C10" s="24" t="n"/>
      <c r="D10" s="24" t="n"/>
      <c r="E10" s="24" t="n"/>
      <c r="F10" s="24" t="inlineStr">
        <is>
          <t>Not started</t>
        </is>
      </c>
      <c r="G10" s="24" t="n"/>
    </row>
    <row r="11" ht="45.75" customHeight="1" s="17">
      <c r="A11" s="23" t="inlineStr">
        <is>
          <t>Q5</t>
        </is>
      </c>
      <c r="B11" s="24" t="inlineStr">
        <is>
          <t>Name the external AI provider, the exact data fields transmitted, the de-identification method, and prompt retention. Is training on submitted data contractually disabled? Is a DPA in place and the provider on the subprocessor list?</t>
        </is>
      </c>
      <c r="C11" s="25" t="inlineStr">
        <is>
          <t>External AI provider: Anthropic (Claude).
Three features use this integration:
1. Help Assistant — transmits staff question text, current page path, and curated help-article content only. The system prompt explicitly prohibits inclusion of student or staff PII.
2. PulseDNA communication drafting — transmits staff-provided rough text, output type, audience, tone, language, and optional school communication profile text. No student roster data is transmitted.
3. Case consistency check — transmits a redacted investigation bundle using Student A/B/C aliases only; the module is designed to never receive unredacted student names or identifiers.
Help Assistant conversations are not persisted server-side. PulseDNA generations are logged in-application for staff accountability. Contractual terms (DPA, training opt-out, subprocessor listing) are governed by the Anthropic commercial agreement.</t>
        </is>
      </c>
      <c r="D11" s="25" t="inlineStr">
        <is>
          <t>Code: artifacts/api-server/src/routes/helpAssistant.ts, src/routes/pulseDna.ts, src/lib/caseConsistencyAi.ts, src/lib/caseConsistencyBundle.ts.</t>
        </is>
      </c>
      <c r="E11" s="24" t="n"/>
      <c r="F11" s="24" t="inlineStr">
        <is>
          <t>Not started</t>
        </is>
      </c>
      <c r="G11" s="24" t="n"/>
    </row>
    <row r="12" ht="45.75" customHeight="1" s="17">
      <c r="A12" s="23" t="inlineStr">
        <is>
          <t>Q6</t>
        </is>
      </c>
      <c r="B12" s="24" t="inlineStr">
        <is>
          <t>Provide a COMPLETED restore-drill log (date, method, RTO/RPO observed, pass/fail). Where do backups live — are they off-instance, encrypted (KMS), and immutable / isolated from ransomware?</t>
        </is>
      </c>
      <c r="C12" s="24" t="n"/>
      <c r="D12" s="24" t="n"/>
      <c r="E12" s="24" t="n"/>
      <c r="F12" s="24" t="inlineStr">
        <is>
          <t>Not started</t>
        </is>
      </c>
      <c r="G12" s="24" t="n"/>
    </row>
    <row r="13" ht="45.75" customHeight="1" s="17">
      <c r="A13" s="23" t="inlineStr">
        <is>
          <t>Q7</t>
        </is>
      </c>
      <c r="B13" s="24" t="inlineStr">
        <is>
          <t>What is the contractual breach-notification timeline (in hours), and what cyber-liability insurance limits do you carry?</t>
        </is>
      </c>
      <c r="C13" s="24" t="n"/>
      <c r="D13" s="24" t="n"/>
      <c r="E13" s="24" t="n"/>
      <c r="F13" s="24" t="inlineStr">
        <is>
          <t>Not started</t>
        </is>
      </c>
      <c r="G13" s="24" t="n"/>
    </row>
    <row r="14" ht="21.75" customHeight="1" s="17">
      <c r="A14" s="26" t="inlineStr">
        <is>
          <t>Section B — Tier 2 — Architecture &amp; operations</t>
        </is>
      </c>
    </row>
    <row r="15" ht="45.75" customHeight="1" s="17">
      <c r="A15" s="23" t="inlineStr">
        <is>
          <t>Q8</t>
        </is>
      </c>
      <c r="B15" s="24" t="inlineStr">
        <is>
          <t>What is your plan to separate the database from the application host, and to move to RDS Multi-AZ for database failover?</t>
        </is>
      </c>
      <c r="C15" s="24" t="n"/>
      <c r="D15" s="24" t="n"/>
      <c r="E15" s="24" t="n"/>
      <c r="F15" s="24" t="inlineStr">
        <is>
          <t>Not started</t>
        </is>
      </c>
      <c r="G15" s="24" t="n"/>
    </row>
    <row r="16" ht="45.75" customHeight="1" s="17">
      <c r="A16" s="23" t="inlineStr">
        <is>
          <t>Q9</t>
        </is>
      </c>
      <c r="B16" s="24" t="inlineStr">
        <is>
          <t>Are sensitive investigation / safety-plan records encrypted at the field level? Can DB admins or support engineers read them in plaintext? Is EBS / S3 encryption enabled in this deployment today?</t>
        </is>
      </c>
      <c r="C16" s="24" t="n"/>
      <c r="D16" s="24" t="n"/>
      <c r="E16" s="24" t="n"/>
      <c r="F16" s="24" t="inlineStr">
        <is>
          <t>Not started</t>
        </is>
      </c>
      <c r="G16" s="24" t="n"/>
    </row>
    <row r="17" ht="45.75" customHeight="1" s="17">
      <c r="A17" s="23" t="inlineStr">
        <is>
          <t>Q10</t>
        </is>
      </c>
      <c r="B17" s="24" t="inlineStr">
        <is>
          <t>Where do production secrets live (currently a flat .env file)? What is the rotation schedule for each secret (DB password, SESSION_SECRET, Resend, SNS)?</t>
        </is>
      </c>
      <c r="C17" s="24" t="n"/>
      <c r="D17" s="24" t="n"/>
      <c r="E17" s="24" t="n"/>
      <c r="F17" s="24" t="inlineStr">
        <is>
          <t>Not started</t>
        </is>
      </c>
      <c r="G17" s="24" t="n"/>
    </row>
    <row r="18" ht="45.75" customHeight="1" s="17">
      <c r="A18" s="23" t="inlineStr">
        <is>
          <t>Q11</t>
        </is>
      </c>
      <c r="B18" s="24" t="inlineStr">
        <is>
          <t>Describe production change control: are migrations peer-reviewed, is there a staging environment, and who is permitted to run manual SQL against production?</t>
        </is>
      </c>
      <c r="C18" s="25" t="inlineStr">
        <is>
          <t>All code changes are merged to the GitHub main branch via pull request; the merge triggers an automated deployment to the production EC2 host via GitHub Actions. Schema changes are implemented as Drizzle ORM migrations or additive boot migrations, reviewed as part of the pull request before merge. The production host runs the application under PM2 on AWS EC2.</t>
        </is>
      </c>
      <c r="D18" s="25" t="inlineStr">
        <is>
          <t>Code: .github/workflows/main.yml (deploy workflow), lib/db/ (schema migrations).</t>
        </is>
      </c>
      <c r="E18" s="24" t="n"/>
      <c r="F18" s="24" t="inlineStr">
        <is>
          <t>Not started</t>
        </is>
      </c>
      <c r="G18" s="24" t="n"/>
    </row>
    <row r="19" ht="45.75" customHeight="1" s="17">
      <c r="A19" s="23" t="inlineStr">
        <is>
          <t>Q12</t>
        </is>
      </c>
      <c r="B19" s="24" t="inlineStr">
        <is>
          <t>What is logged (including record VIEWS, exports, role changes, deletions), where is it stored, for how long, who can access or alter it, and is it tamper-resistant?</t>
        </is>
      </c>
      <c r="C19" s="24" t="n"/>
      <c r="D19" s="24" t="n"/>
      <c r="E19" s="24" t="n"/>
      <c r="F19" s="24" t="inlineStr">
        <is>
          <t>Not started</t>
        </is>
      </c>
      <c r="G19" s="24" t="n"/>
    </row>
    <row r="20" ht="45.75" customHeight="1" s="17">
      <c r="A20" s="23" t="inlineStr">
        <is>
          <t>Q13</t>
        </is>
      </c>
      <c r="B20" s="24" t="inlineStr">
        <is>
          <t>What security monitoring / SIEM is in place, and what triggers an alert (impossible-travel, brute-force, administrator actions)?</t>
        </is>
      </c>
      <c r="C20" s="24" t="n"/>
      <c r="D20" s="24" t="n"/>
      <c r="E20" s="24" t="n"/>
      <c r="F20" s="24" t="inlineStr">
        <is>
          <t>Not started</t>
        </is>
      </c>
      <c r="G20" s="24" t="n"/>
    </row>
    <row r="21" ht="45.75" customHeight="1" s="17">
      <c r="A21" s="23" t="inlineStr">
        <is>
          <t>Q14</t>
        </is>
      </c>
      <c r="B21" s="24" t="inlineStr">
        <is>
          <t>Can engineers access production student data? Are just-in-time access, approval, and privileged-action review used? Can support staff impersonate users?</t>
        </is>
      </c>
      <c r="C21" s="24" t="n"/>
      <c r="D21" s="24" t="n"/>
      <c r="E21" s="24" t="n"/>
      <c r="F21" s="24" t="inlineStr">
        <is>
          <t>Not started</t>
        </is>
      </c>
      <c r="G21" s="24" t="n"/>
    </row>
    <row r="22" ht="45.75" customHeight="1" s="17">
      <c r="A22" s="23" t="inlineStr">
        <is>
          <t>Q15</t>
        </is>
      </c>
      <c r="B22" s="24" t="inlineStr">
        <is>
          <t>Password storage (bcrypt) and session-cookie hardening are confirmed. Outstanding parameters are tracked as U1 and U2 below — please answer those.</t>
        </is>
      </c>
      <c r="C22" s="25" t="inlineStr">
        <is>
          <t>Confirmed. Passwords are hashed with bcrypt (see U1 for cost factor). Session cookies are HttpOnly, SameSite=Lax, and Secure in production (HTTPS only), with a rolling 14-day maxAge, stored server-side in PostgreSQL. Helmet security headers and a CORS allowlist are enabled in production. See U1 (bcrypt) and U2 (session detail).</t>
        </is>
      </c>
      <c r="D22" s="25" t="inlineStr">
        <is>
          <t>Code: artifacts/api-server/src/app.ts (session config, Helmet), src/lib/bcrypt.ts, src/lib/corsConfig.ts.</t>
        </is>
      </c>
      <c r="E22" s="24" t="n"/>
      <c r="F22" s="24" t="inlineStr">
        <is>
          <t>Not started</t>
        </is>
      </c>
      <c r="G22" s="24" t="n"/>
    </row>
    <row r="23" ht="45.75" customHeight="1" s="17">
      <c r="A23" s="23" t="inlineStr">
        <is>
          <t>Q16</t>
        </is>
      </c>
      <c r="B23" s="24" t="inlineStr">
        <is>
          <t>Confirm IN WRITING that no real student PII has ever been loaded into dev / Replit / preview / staging environments, and that those are isolated from production credentials.</t>
        </is>
      </c>
      <c r="C23" s="24" t="n"/>
      <c r="D23" s="24" t="n"/>
      <c r="E23" s="24" t="n"/>
      <c r="F23" s="24" t="inlineStr">
        <is>
          <t>Not started</t>
        </is>
      </c>
      <c r="G23" s="24" t="n"/>
    </row>
    <row r="24" ht="45.75" customHeight="1" s="17">
      <c r="A24" s="23" t="inlineStr">
        <is>
          <t>Q17</t>
        </is>
      </c>
      <c r="B24" s="24" t="inlineStr">
        <is>
          <t>How is vulnerability management handled — dependency scanning, SAST / DAST, and patch SLAs for critical issues? (CSP, CORS allowlist, and cookie flags are already confirmed.)</t>
        </is>
      </c>
      <c r="C24" s="24" t="n"/>
      <c r="D24" s="24" t="n"/>
      <c r="E24" s="24" t="n"/>
      <c r="F24" s="24" t="inlineStr">
        <is>
          <t>Not started</t>
        </is>
      </c>
      <c r="G24" s="24" t="n"/>
    </row>
    <row r="25" ht="21.75" customHeight="1" s="17">
      <c r="A25" s="27" t="inlineStr">
        <is>
          <t>Section C — Tier 3 — Contract &amp; compliance</t>
        </is>
      </c>
    </row>
    <row r="26" ht="45.75" customHeight="1" s="17">
      <c r="A26" s="23" t="inlineStr">
        <is>
          <t>Q18</t>
        </is>
      </c>
      <c r="B26" s="24" t="inlineStr">
        <is>
          <t>Provide the DPA naming PulseEDU a FERPA 'school official', plus the full subprocessor list, a data-flow diagram, and the AWS region(s) / data-residency commitment.</t>
        </is>
      </c>
      <c r="C26" s="24" t="n"/>
      <c r="D26" s="24" t="n"/>
      <c r="E26" s="24" t="n"/>
      <c r="F26" s="24" t="inlineStr">
        <is>
          <t>Not started</t>
        </is>
      </c>
      <c r="G26" s="24" t="n"/>
    </row>
    <row r="27" ht="45.75" customHeight="1" s="17">
      <c r="A27" s="23" t="inlineStr">
        <is>
          <t>Q19</t>
        </is>
      </c>
      <c r="B27" s="24" t="inlineStr">
        <is>
          <t>Provide written data retention, export-format, and secure-deletion terms (including deletion from backups), with timelines and destruction verification.</t>
        </is>
      </c>
      <c r="C27" s="24" t="n"/>
      <c r="D27" s="24" t="n"/>
      <c r="E27" s="24" t="n"/>
      <c r="F27" s="24" t="inlineStr">
        <is>
          <t>Not started</t>
        </is>
      </c>
      <c r="G27" s="24" t="n"/>
    </row>
    <row r="28" ht="45.75" customHeight="1" s="17">
      <c r="A28" s="23" t="inlineStr">
        <is>
          <t>Q20</t>
        </is>
      </c>
      <c r="B28" s="24" t="inlineStr">
        <is>
          <t>How is parent identity verified? How are custody restrictions and no-contact orders enforced in the portal? Can access be revoked immediately, and is parent access audited?</t>
        </is>
      </c>
      <c r="C28" s="25" t="inlineStr">
        <is>
          <t>Parent identity: accounts created via email invitation sent to the address held on file by the school; parents set a password against the invite link. Optional TOTP is available after enrollment.
Access revocation: parent invites can be revoked by school staff, which blocks portal access.
Parent and staff sessions are fully isolated on separate middleware stacks.
Custody restrictions and no-contact orders are not modeled as a dedicated enforcement layer; districts manage access eligibility through invite issuance and school process.</t>
        </is>
      </c>
      <c r="D28" s="25" t="inlineStr">
        <is>
          <t>Code: artifacts/api-server/src/routes/parentAuth.ts (invite flow, TOTP, revocation).</t>
        </is>
      </c>
      <c r="E28" s="24" t="n"/>
      <c r="F28" s="24" t="inlineStr">
        <is>
          <t>Not started</t>
        </is>
      </c>
      <c r="G28" s="24" t="n"/>
    </row>
    <row r="29" ht="45.75" customHeight="1" s="17">
      <c r="A29" s="23" t="inlineStr">
        <is>
          <t>Q21</t>
        </is>
      </c>
      <c r="B29" s="24" t="inlineStr">
        <is>
          <t>For ClassLink/OneRoster: is org-to-school mapping validation automated, are imports quarantined before activation, and has the sync been security-tested before any production use?</t>
        </is>
      </c>
      <c r="C29" s="25" t="inlineStr">
        <is>
          <t>Org-to-school mapping: automated and fail-closed. Before any roster data is written, PulseEDU loads the full OneRoster org feed from ClassLink and resolves the school org using schoolOrgSourcedId and/or stateSchoolCode, including normalization of numeric code variants (e.g. 0241 vs 241). Any mismatch causes the sync to abort with no data written.
Quarantine before activation: imports are not held in a separate staging table; validated data is written in a single database transaction (student/staff upsert; class schedule rebuild scoped to the school).
Security testing: mapping and sync logic are implemented and type-checked. Development uses synthetic fixture data (fabricated student records, not real district data). The live OneRoster HTTP client is not yet connected — district credentials have not been provided. Production sync with real ClassLink data will proceed only after live API validation in a district-controlled window.</t>
        </is>
      </c>
      <c r="D29" s="25" t="inlineStr">
        <is>
          <t>Code: lib/sis-adapters/src/oneroster/schoolMapping.ts, artifacts/api-server/src/lib/sisSchoolMapping.ts, src/lib/sisRosterSync.ts, src/routes/sisSync.ts, src/lib/scheduledJobs.ts.</t>
        </is>
      </c>
      <c r="E29" s="24" t="n"/>
      <c r="F29" s="24" t="inlineStr">
        <is>
          <t>Not started</t>
        </is>
      </c>
      <c r="G29" s="24" t="n"/>
    </row>
    <row r="30" ht="21.75" customHeight="1" s="17">
      <c r="A30" s="28" t="inlineStr">
        <is>
          <t>Section D — Unverified claims requiring evidence (the docs assert these but supply no value, test, or third-party result)</t>
        </is>
      </c>
    </row>
    <row r="31" ht="45.75" customHeight="1" s="17">
      <c r="A31" s="23" t="inlineStr">
        <is>
          <t>U1</t>
        </is>
      </c>
      <c r="B31" s="24" t="inlineStr">
        <is>
          <t>bcrypt work factor: what cost factor is configured in production, does it apply to BOTH staff and parent hashing, and when was it last reviewed or increased?</t>
        </is>
      </c>
      <c r="C31" s="25" t="inlineStr">
        <is>
          <t>bcrypt cost factor 10 is used for all password hashing in the application: staff password creation and reset, parent password enrollment, kiosk PIN hashing, and placeholder passwords assigned to SIS-synced staff accounts. The default cost factor in the shared bcrypt worker is 10.</t>
        </is>
      </c>
      <c r="D31" s="25" t="inlineStr">
        <is>
          <t>Code: artifacts/api-server/src/lib/bcrypt.ts (worker default 10), src/routes/auth.ts, src/routes/parentAuth.ts, src/routes/adminStaff.ts, src/lib/sisRosterSync.ts.</t>
        </is>
      </c>
      <c r="E31" s="24" t="n"/>
      <c r="F31" s="24" t="inlineStr">
        <is>
          <t>Not started</t>
        </is>
      </c>
      <c r="G31" s="24" t="n"/>
    </row>
    <row r="32" ht="45.75" customHeight="1" s="17">
      <c r="A32" s="23" t="inlineStr">
        <is>
          <t>U2</t>
        </is>
      </c>
      <c r="B32" s="24" t="inlineStr">
        <is>
          <t>Session lifetime &amp; revocation: what is the exact lifetime (idle timeout vs absolute window)? Are sessions invalidated on password change, role change, and deactivation? Can an admin force-revoke all of a user's sessions? Is the lifetime shorter for privileged accounts?</t>
        </is>
      </c>
      <c r="C32" s="25" t="inlineStr">
        <is>
          <t>Session cookie maxAge: 14 days with rolling=true — activity resets the expiry. Sessions are stored server-side in PostgreSQL (user_sessions table). On explicit logout the server-side session is destroyed. Staff deactivation is checked on every authenticated request; a deactivated account cannot act on an existing session.
Admin-initiated force-revocation of all sessions for a specific user is not implemented. Session lifetime is the same for all staff roles including SuperUser and District Admin.</t>
        </is>
      </c>
      <c r="D32" s="25" t="inlineStr">
        <is>
          <t>Code: artifacts/api-server/src/app.ts (session maxAge, rolling, cookie flags), src/routes/auth.ts (session destroy).</t>
        </is>
      </c>
      <c r="E32" s="24" t="n"/>
      <c r="F32" s="24" t="inlineStr">
        <is>
          <t>Not started</t>
        </is>
      </c>
      <c r="G32" s="24" t="n"/>
    </row>
    <row r="33" ht="45.75" customHeight="1" s="17">
      <c r="A33" s="23" t="inlineStr">
        <is>
          <t>U3</t>
        </is>
      </c>
      <c r="B33" s="24" t="inlineStr">
        <is>
          <t>Tenant-scope coverage: is scoping enforced on 100% of tenant-table queries, or can a route issue an unscoped query? What enforces it (query wrapper / CI rule / code review / discipline)? Has any automated cross-tenant isolation test ever been run — provide results. Has any independent party tested the boundary?</t>
        </is>
      </c>
      <c r="C33" s="25" t="inlineStr">
        <is>
          <t>Tenant scoping is enforced in the application layer. Every authenticated API request resolves a school_id from the staff session; route handlers apply this school_id when querying tenant-scoped tables. Permission helpers (requireSchool, canImportSchoolData, canActAsDistrict) centralize scope enforcement. PostgreSQL Row-Level Security is not used. No automated cross-tenant isolation test suite has been executed, and no independent third-party boundary test has been conducted to date.</t>
        </is>
      </c>
      <c r="D33" s="25" t="inlineStr">
        <is>
          <t>Code: artifacts/api-server/src/lib/scope.ts, artifacts/api-server/src/app.ts.</t>
        </is>
      </c>
      <c r="E33" s="24" t="n"/>
      <c r="F33" s="24" t="inlineStr">
        <is>
          <t>Not started</t>
        </is>
      </c>
      <c r="G33" s="24" t="n"/>
    </row>
  </sheetData>
  <mergeCells count="7">
    <mergeCell ref="A14:G14"/>
    <mergeCell ref="A1:G1"/>
    <mergeCell ref="A3:G3"/>
    <mergeCell ref="A6:G6"/>
    <mergeCell ref="A30:G30"/>
    <mergeCell ref="A2:G2"/>
    <mergeCell ref="A25:G25"/>
  </mergeCells>
  <dataValidations count="2">
    <dataValidation sqref="D7:D13 D15:D24 D26:D29 D31:D33" showDropDown="0" showInputMessage="0" showErrorMessage="0" allowBlank="1" type="list" errorStyle="stop" operator="between">
      <formula1>"Yes,No,Partial"</formula1>
      <formula2>0</formula2>
    </dataValidation>
    <dataValidation sqref="F7:F13 F15:F24 F26:F29 F31:F33" showDropDown="0" showInputMessage="0" showErrorMessage="0" allowBlank="1" type="list" errorStyle="stop" operator="between">
      <formula1>"Not started,In progress,Answered - adequate,Answered - insufficient,N/A"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8" customWidth="1" style="16" min="1" max="1"/>
    <col width="14" customWidth="1" style="16" min="2" max="2"/>
  </cols>
  <sheetData>
    <row r="1" ht="25.5" customHeight="1" s="17">
      <c r="A1" s="29" t="inlineStr">
        <is>
          <t>Response Tracker — Summary</t>
        </is>
      </c>
    </row>
    <row r="3" ht="15" customHeight="1" s="17">
      <c r="A3" s="30" t="inlineStr">
        <is>
          <t>Total questions</t>
        </is>
      </c>
      <c r="B3" s="31">
        <f>COUNTA(Questionnaire!F7:F33)</f>
        <v/>
      </c>
    </row>
    <row r="4" ht="15" customHeight="1" s="17">
      <c r="A4" s="30" t="inlineStr">
        <is>
          <t>Not started</t>
        </is>
      </c>
      <c r="B4" s="31">
        <f>COUNTIF(Questionnaire!F7:F33,"Not started")</f>
        <v/>
      </c>
    </row>
    <row r="5" ht="15" customHeight="1" s="17">
      <c r="A5" s="30" t="inlineStr">
        <is>
          <t>In progress</t>
        </is>
      </c>
      <c r="B5" s="31">
        <f>COUNTIF(Questionnaire!F7:F33,"In progress")</f>
        <v/>
      </c>
    </row>
    <row r="6" ht="15" customHeight="1" s="17">
      <c r="A6" s="30" t="inlineStr">
        <is>
          <t>Answered - adequate</t>
        </is>
      </c>
      <c r="B6" s="31">
        <f>COUNTIF(Questionnaire!F7:F33,"Answered - adequate")</f>
        <v/>
      </c>
    </row>
    <row r="7" ht="15" customHeight="1" s="17">
      <c r="A7" s="30" t="inlineStr">
        <is>
          <t>Answered - insufficient</t>
        </is>
      </c>
      <c r="B7" s="31">
        <f>COUNTIF(Questionnaire!F7:F33,"Answered - insufficient")</f>
        <v/>
      </c>
    </row>
    <row r="8" ht="15" customHeight="1" s="17">
      <c r="A8" s="30" t="inlineStr">
        <is>
          <t>N/A</t>
        </is>
      </c>
      <c r="B8" s="31">
        <f>COUNTIF(Questionnaire!F7:F33,"N/A")</f>
        <v/>
      </c>
    </row>
    <row r="10" ht="15" customHeight="1" s="17">
      <c r="A10" s="32" t="inlineStr">
        <is>
          <t>Tier 1 (gating) items: Q1–Q7 must be 'Answered - adequate' before any pilot with real data.</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2026-06-22T16:33:16Z</dcterms:created>
  <dcterms:modified xmlns:dcterms="http://purl.org/dc/terms/" xmlns:xsi="http://www.w3.org/2001/XMLSchema-instance" xsi:type="dcterms:W3CDTF">2026-06-24T16:31:14Z</dcterms:modified>
  <cp:revision>0</cp:revision>
</cp:coreProperties>
</file>